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Workspace\VBA\"/>
    </mc:Choice>
  </mc:AlternateContent>
  <bookViews>
    <workbookView xWindow="0" yWindow="0" windowWidth="28800" windowHeight="12285" activeTab="2"/>
  </bookViews>
  <sheets>
    <sheet name="How To Use" sheetId="1" r:id="rId1"/>
    <sheet name="Logic_List" sheetId="2" r:id="rId2"/>
    <sheet name="Logic_Field" sheetId="3" r:id="rId3"/>
    <sheet name="Logic_AList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2" l="1"/>
  <c r="U2" i="2"/>
  <c r="T2" i="2"/>
  <c r="S2" i="2"/>
  <c r="R2" i="2"/>
  <c r="Q2" i="2"/>
  <c r="P2" i="2"/>
  <c r="O2" i="2"/>
</calcChain>
</file>

<file path=xl/sharedStrings.xml><?xml version="1.0" encoding="utf-8"?>
<sst xmlns="http://schemas.openxmlformats.org/spreadsheetml/2006/main" count="49" uniqueCount="39">
  <si>
    <t>シート構成</t>
    <phoneticPr fontId="1" type="noConversion"/>
  </si>
  <si>
    <t>Logic_List</t>
    <phoneticPr fontId="1" type="noConversion"/>
  </si>
  <si>
    <t>Logic_Alistに登録されているロジックのリストを表示</t>
    <phoneticPr fontId="1" type="noConversion"/>
  </si>
  <si>
    <t>ボタン</t>
    <phoneticPr fontId="1" type="noConversion"/>
  </si>
  <si>
    <t>Generate：選択したロジックの形をLogic_Fieldに作成。ゲームをスタートする。</t>
    <phoneticPr fontId="1" type="noConversion"/>
  </si>
  <si>
    <t>See Answer：Logic_AListに登録されているロジックに移動する。</t>
    <phoneticPr fontId="1" type="noConversion"/>
  </si>
  <si>
    <t>Logic_Field</t>
  </si>
  <si>
    <t>ロジックパズルをプレーするシート</t>
    <phoneticPr fontId="1" type="noConversion"/>
  </si>
  <si>
    <t>表示情報</t>
    <phoneticPr fontId="1" type="noConversion"/>
  </si>
  <si>
    <t>ライフ（C1）：5からスタート。0になったらゲームオーバー。</t>
    <phoneticPr fontId="1" type="noConversion"/>
  </si>
  <si>
    <t>残りのセール（E1）：クリアまで残ったセール数を表示。0になったらゲームクリア。</t>
    <phoneticPr fontId="1" type="noConversion"/>
  </si>
  <si>
    <t>ボタン</t>
    <phoneticPr fontId="1" type="noConversion"/>
  </si>
  <si>
    <t>Reset：ゲームをリセットする。</t>
    <phoneticPr fontId="1" type="noConversion"/>
  </si>
  <si>
    <t>インデックス（A1）：現在表示中のロジックの番号を表示・判定・リセット・答表示に私用</t>
    <phoneticPr fontId="1" type="noConversion"/>
  </si>
  <si>
    <t>Cheating：ロジックの答表示。</t>
    <phoneticPr fontId="1" type="noConversion"/>
  </si>
  <si>
    <t>操作方法</t>
    <phoneticPr fontId="1" type="noConversion"/>
  </si>
  <si>
    <t>既存操作はキーボードで行われる</t>
    <phoneticPr fontId="1" type="noConversion"/>
  </si>
  <si>
    <t>Zキー：セールの正解判定を行う。正解だったらセールが黒に、不正解だったライフが一つ減り、赤になる。</t>
    <phoneticPr fontId="1" type="noConversion"/>
  </si>
  <si>
    <t>Xキー：セールをチェック。判定は行えず黄色に</t>
    <phoneticPr fontId="1" type="noConversion"/>
  </si>
  <si>
    <t>Logic_AList</t>
    <phoneticPr fontId="1" type="noConversion"/>
  </si>
  <si>
    <t>ロジックの正解ライブラリ。新しいロジックの登録可能。</t>
    <phoneticPr fontId="1" type="noConversion"/>
  </si>
  <si>
    <t>Drow Line：ロジックの追加のための型作成</t>
    <phoneticPr fontId="1" type="noConversion"/>
  </si>
  <si>
    <t>Regist：作成したロジックの登録。ヒントの作成及びスペース点有。Logic_Listのリストにもデータ追加。</t>
    <phoneticPr fontId="1" type="noConversion"/>
  </si>
  <si>
    <t>操作方法</t>
    <phoneticPr fontId="1" type="noConversion"/>
  </si>
  <si>
    <t>既存操作はキーボードで行われる</t>
    <phoneticPr fontId="1" type="noConversion"/>
  </si>
  <si>
    <t>Zキー：セールのデータ作成。セールを黒に</t>
    <phoneticPr fontId="1" type="noConversion"/>
  </si>
  <si>
    <t>Xキー：セール削除。セールを透明に</t>
    <phoneticPr fontId="1" type="noConversion"/>
  </si>
  <si>
    <t>セールをExcelの色塗り機能を使って黒にしても、データ反映可能。</t>
    <phoneticPr fontId="1" type="noConversion"/>
  </si>
  <si>
    <t>→例題として、フクロウを色だけ塗っているので、登録ボタンで登録し、実際内容が登録されてか確認できる。</t>
    <phoneticPr fontId="1" type="noConversion"/>
  </si>
  <si>
    <t>Index</t>
    <phoneticPr fontId="1" type="noConversion"/>
  </si>
  <si>
    <t>Name</t>
    <phoneticPr fontId="1" type="noConversion"/>
  </si>
  <si>
    <t>Srow</t>
    <phoneticPr fontId="1" type="noConversion"/>
  </si>
  <si>
    <t>Crow</t>
    <phoneticPr fontId="1" type="noConversion"/>
  </si>
  <si>
    <t>Mrow</t>
    <phoneticPr fontId="1" type="noConversion"/>
  </si>
  <si>
    <t>Scolumn</t>
    <phoneticPr fontId="1" type="noConversion"/>
  </si>
  <si>
    <t>Ccolumn</t>
    <phoneticPr fontId="1" type="noConversion"/>
  </si>
  <si>
    <t>Mcolumn</t>
    <phoneticPr fontId="1" type="noConversion"/>
  </si>
  <si>
    <t>Points</t>
    <phoneticPr fontId="1" type="noConversion"/>
  </si>
  <si>
    <t>Test1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</si>
</sst>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Meiryo UI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ck">
        <color auto="1"/>
      </top>
      <bottom/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5" xfId="0" applyFont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2" fillId="2" borderId="11" xfId="0" applyFont="1" applyFill="1" applyBorder="1">
      <alignment vertical="center"/>
    </xf>
    <xf numFmtId="0" fontId="2" fillId="2" borderId="16" xfId="0" applyFont="1" applyFill="1" applyBorder="1">
      <alignment vertical="center"/>
    </xf>
    <xf numFmtId="0" fontId="2" fillId="2" borderId="24" xfId="0" applyFont="1" applyFill="1" applyBorder="1">
      <alignment vertical="center"/>
    </xf>
    <xf numFmtId="0" fontId="2" fillId="2" borderId="20" xfId="0" applyFont="1" applyFill="1" applyBorder="1">
      <alignment vertical="center"/>
    </xf>
    <xf numFmtId="0" fontId="2" fillId="2" borderId="19" xfId="0" applyFont="1" applyFill="1" applyBorder="1">
      <alignment vertical="center"/>
    </xf>
    <xf numFmtId="0" fontId="2" fillId="2" borderId="23" xfId="0" applyFont="1" applyFill="1" applyBorder="1">
      <alignment vertical="center"/>
    </xf>
    <xf numFmtId="0" fontId="2" fillId="0" borderId="0" xfId="0" applyFont="1" applyBorder="1">
      <alignment vertical="center"/>
    </xf>
    <xf numFmtId="0" fontId="2" fillId="0" borderId="26" xfId="0" applyFont="1" applyBorder="1">
      <alignment vertical="center"/>
    </xf>
    <xf numFmtId="0" fontId="2" fillId="2" borderId="27" xfId="0" applyFont="1" applyFill="1" applyBorder="1">
      <alignment vertical="center"/>
    </xf>
    <xf numFmtId="0" fontId="2" fillId="2" borderId="28" xfId="0" applyFont="1" applyFill="1" applyBorder="1">
      <alignment vertical="center"/>
    </xf>
    <xf numFmtId="0" fontId="2" fillId="0" borderId="29" xfId="0" applyFont="1" applyBorder="1">
      <alignment vertical="center"/>
    </xf>
    <xf numFmtId="0" fontId="2" fillId="0" borderId="30" xfId="0" applyFont="1" applyBorder="1">
      <alignment vertical="center"/>
    </xf>
    <xf numFmtId="0" fontId="2" fillId="0" borderId="31" xfId="0" applyFont="1" applyBorder="1">
      <alignment vertical="center"/>
    </xf>
    <xf numFmtId="0" fontId="2" fillId="0" borderId="32" xfId="0" applyFont="1" applyBorder="1">
      <alignment vertical="center"/>
    </xf>
    <xf numFmtId="0" fontId="2" fillId="2" borderId="33" xfId="0" applyFont="1" applyFill="1" applyBorder="1">
      <alignment vertical="center"/>
    </xf>
    <xf numFmtId="0" fontId="2" fillId="2" borderId="34" xfId="0" applyFont="1" applyFill="1" applyBorder="1">
      <alignment vertical="center"/>
    </xf>
    <xf numFmtId="0" fontId="2" fillId="0" borderId="35" xfId="0" applyFont="1" applyBorder="1">
      <alignment vertical="center"/>
    </xf>
    <xf numFmtId="0" fontId="2" fillId="0" borderId="36" xfId="0" applyFont="1" applyBorder="1">
      <alignment vertical="center"/>
    </xf>
    <xf numFmtId="0" fontId="2" fillId="0" borderId="37" xfId="0" applyFont="1" applyBorder="1">
      <alignment vertical="center"/>
    </xf>
    <xf numFmtId="0" fontId="2" fillId="0" borderId="38" xfId="0" applyFont="1" applyBorder="1">
      <alignment vertical="center"/>
    </xf>
    <xf numFmtId="0" fontId="2" fillId="0" borderId="39" xfId="0" applyFont="1" applyBorder="1">
      <alignment vertical="center"/>
    </xf>
    <xf numFmtId="0" fontId="2" fillId="0" borderId="40" xfId="0" applyFont="1" applyBorder="1">
      <alignment vertical="center"/>
    </xf>
    <xf numFmtId="0" fontId="2" fillId="0" borderId="41" xfId="0" applyFont="1" applyBorder="1">
      <alignment vertical="center"/>
    </xf>
    <xf numFmtId="0" fontId="2" fillId="0" borderId="42" xfId="0" applyFont="1" applyBorder="1">
      <alignment vertical="center"/>
    </xf>
    <xf numFmtId="0" fontId="2" fillId="0" borderId="43" xfId="0" applyFont="1" applyBorder="1">
      <alignment vertical="center"/>
    </xf>
    <xf numFmtId="0" fontId="2" fillId="0" borderId="44" xfId="0" applyFont="1" applyBorder="1">
      <alignment vertical="center"/>
    </xf>
    <xf numFmtId="0" fontId="2" fillId="0" borderId="45" xfId="0" applyFont="1" applyBorder="1">
      <alignment vertical="center"/>
    </xf>
    <xf numFmtId="0" fontId="2" fillId="0" borderId="46" xfId="0" applyFont="1" applyBorder="1">
      <alignment vertical="center"/>
    </xf>
    <xf numFmtId="0" fontId="2" fillId="0" borderId="47" xfId="0" applyFont="1" applyBorder="1">
      <alignment vertical="center"/>
    </xf>
    <xf numFmtId="0" fontId="2" fillId="0" borderId="48" xfId="0" applyFont="1" applyBorder="1">
      <alignment vertical="center"/>
    </xf>
    <xf numFmtId="0" fontId="2" fillId="0" borderId="49" xfId="0" applyFont="1" applyBorder="1">
      <alignment vertical="center"/>
    </xf>
    <xf numFmtId="0" fontId="2" fillId="0" borderId="50" xfId="0" applyFont="1" applyBorder="1">
      <alignment vertical="center"/>
    </xf>
    <xf numFmtId="0" fontId="2" fillId="0" borderId="51" xfId="0" applyFont="1" applyBorder="1">
      <alignment vertical="center"/>
    </xf>
    <xf numFmtId="0" fontId="2" fillId="0" borderId="52" xfId="0" applyFont="1" applyBorder="1">
      <alignment vertical="center"/>
    </xf>
    <xf numFmtId="0" fontId="2" fillId="0" borderId="53" xfId="0" applyFont="1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0" fontId="0" fillId="0" borderId="49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0" borderId="48" xfId="0" applyBorder="1">
      <alignment vertical="center"/>
    </xf>
    <xf numFmtId="0" fontId="0" fillId="0" borderId="56" xfId="0" applyBorder="1">
      <alignment vertical="center"/>
    </xf>
    <xf numFmtId="0" fontId="0" fillId="0" borderId="50" xfId="0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3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2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N$2" max="30000" page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</xdr:colOff>
          <xdr:row>0</xdr:row>
          <xdr:rowOff>0</xdr:rowOff>
        </xdr:from>
        <xdr:to>
          <xdr:col>13</xdr:col>
          <xdr:colOff>1</xdr:colOff>
          <xdr:row>1</xdr:row>
          <xdr:rowOff>200024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219075</xdr:colOff>
          <xdr:row>0</xdr:row>
          <xdr:rowOff>76200</xdr:rowOff>
        </xdr:from>
        <xdr:to>
          <xdr:col>23</xdr:col>
          <xdr:colOff>476250</xdr:colOff>
          <xdr:row>1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219075</xdr:colOff>
          <xdr:row>2</xdr:row>
          <xdr:rowOff>66675</xdr:rowOff>
        </xdr:from>
        <xdr:to>
          <xdr:col>23</xdr:col>
          <xdr:colOff>476250</xdr:colOff>
          <xdr:row>3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See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11</xdr:col>
          <xdr:colOff>152400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19</xdr:col>
          <xdr:colOff>0</xdr:colOff>
          <xdr:row>0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Cheating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6</xdr:col>
          <xdr:colOff>0</xdr:colOff>
          <xdr:row>0</xdr:row>
          <xdr:rowOff>180976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Draw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12</xdr:col>
          <xdr:colOff>190500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Regist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"/>
  <sheetViews>
    <sheetView workbookViewId="0"/>
  </sheetViews>
  <sheetFormatPr defaultRowHeight="16.5" x14ac:dyDescent="0.3"/>
  <sheetData>
    <row r="1" spans="1:6" x14ac:dyDescent="0.3">
      <c r="A1" s="1" t="s">
        <v>0</v>
      </c>
      <c r="B1" s="1"/>
      <c r="C1" s="1"/>
      <c r="D1" s="1"/>
      <c r="E1" s="1"/>
      <c r="F1" s="1"/>
    </row>
    <row r="2" spans="1:6" x14ac:dyDescent="0.3">
      <c r="A2" s="1"/>
      <c r="B2" s="1" t="s">
        <v>1</v>
      </c>
      <c r="C2" s="1"/>
      <c r="D2" s="1"/>
      <c r="E2" s="1"/>
      <c r="F2" s="1"/>
    </row>
    <row r="3" spans="1:6" x14ac:dyDescent="0.3">
      <c r="A3" s="1"/>
      <c r="B3" s="1"/>
      <c r="C3" s="1" t="s">
        <v>2</v>
      </c>
      <c r="D3" s="1"/>
      <c r="E3" s="1"/>
      <c r="F3" s="1"/>
    </row>
    <row r="4" spans="1:6" x14ac:dyDescent="0.3">
      <c r="A4" s="1"/>
      <c r="B4" s="1"/>
      <c r="C4" s="1" t="s">
        <v>3</v>
      </c>
      <c r="D4" s="1"/>
      <c r="E4" s="1"/>
      <c r="F4" s="1"/>
    </row>
    <row r="5" spans="1:6" x14ac:dyDescent="0.3">
      <c r="A5" s="1"/>
      <c r="B5" s="1"/>
      <c r="C5" s="1"/>
      <c r="D5" s="1" t="s">
        <v>4</v>
      </c>
      <c r="E5" s="1"/>
      <c r="F5" s="1"/>
    </row>
    <row r="6" spans="1:6" x14ac:dyDescent="0.3">
      <c r="A6" s="1"/>
      <c r="B6" s="1"/>
      <c r="C6" s="1"/>
      <c r="D6" s="1" t="s">
        <v>5</v>
      </c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 t="s">
        <v>6</v>
      </c>
      <c r="C8" s="1"/>
      <c r="D8" s="1"/>
      <c r="E8" s="1"/>
      <c r="F8" s="1"/>
    </row>
    <row r="9" spans="1:6" x14ac:dyDescent="0.3">
      <c r="A9" s="1"/>
      <c r="B9" s="1"/>
      <c r="C9" s="1" t="s">
        <v>7</v>
      </c>
      <c r="D9" s="1"/>
      <c r="E9" s="1"/>
      <c r="F9" s="1"/>
    </row>
    <row r="10" spans="1:6" x14ac:dyDescent="0.3">
      <c r="A10" s="1"/>
      <c r="B10" s="1"/>
      <c r="C10" s="1" t="s">
        <v>8</v>
      </c>
      <c r="D10" s="1"/>
      <c r="E10" s="1"/>
      <c r="F10" s="1"/>
    </row>
    <row r="11" spans="1:6" x14ac:dyDescent="0.3">
      <c r="A11" s="1"/>
      <c r="B11" s="1"/>
      <c r="C11" s="1"/>
      <c r="D11" s="1" t="s">
        <v>13</v>
      </c>
      <c r="E11" s="1"/>
      <c r="F11" s="1"/>
    </row>
    <row r="12" spans="1:6" x14ac:dyDescent="0.3">
      <c r="A12" s="1"/>
      <c r="B12" s="1"/>
      <c r="C12" s="1"/>
      <c r="D12" s="1" t="s">
        <v>9</v>
      </c>
      <c r="E12" s="1"/>
      <c r="F12" s="1"/>
    </row>
    <row r="13" spans="1:6" x14ac:dyDescent="0.3">
      <c r="A13" s="1"/>
      <c r="B13" s="1"/>
      <c r="C13" s="1"/>
      <c r="D13" s="1" t="s">
        <v>10</v>
      </c>
      <c r="E13" s="1"/>
      <c r="F13" s="1"/>
    </row>
    <row r="14" spans="1:6" x14ac:dyDescent="0.3">
      <c r="A14" s="1"/>
      <c r="B14" s="1"/>
      <c r="C14" s="1" t="s">
        <v>11</v>
      </c>
      <c r="D14" s="1"/>
      <c r="E14" s="1"/>
      <c r="F14" s="1"/>
    </row>
    <row r="15" spans="1:6" x14ac:dyDescent="0.3">
      <c r="A15" s="1"/>
      <c r="B15" s="1"/>
      <c r="C15" s="1"/>
      <c r="D15" s="1" t="s">
        <v>12</v>
      </c>
      <c r="E15" s="1"/>
      <c r="F15" s="1"/>
    </row>
    <row r="16" spans="1:6" x14ac:dyDescent="0.3">
      <c r="A16" s="1"/>
      <c r="B16" s="1"/>
      <c r="C16" s="1"/>
      <c r="D16" s="1" t="s">
        <v>14</v>
      </c>
      <c r="E16" s="1"/>
      <c r="F16" s="1"/>
    </row>
    <row r="17" spans="1:6" x14ac:dyDescent="0.3">
      <c r="A17" s="1"/>
      <c r="B17" s="1"/>
      <c r="C17" s="1" t="s">
        <v>15</v>
      </c>
      <c r="D17" s="1"/>
      <c r="E17" s="1"/>
      <c r="F17" s="1"/>
    </row>
    <row r="18" spans="1:6" x14ac:dyDescent="0.3">
      <c r="A18" s="1"/>
      <c r="B18" s="1"/>
      <c r="C18" s="1"/>
      <c r="D18" s="1" t="s">
        <v>16</v>
      </c>
      <c r="E18" s="1"/>
      <c r="F18" s="1"/>
    </row>
    <row r="19" spans="1:6" x14ac:dyDescent="0.3">
      <c r="A19" s="1"/>
      <c r="B19" s="1"/>
      <c r="C19" s="1"/>
      <c r="D19" s="1" t="s">
        <v>17</v>
      </c>
      <c r="E19" s="1"/>
      <c r="F19" s="1"/>
    </row>
    <row r="20" spans="1:6" x14ac:dyDescent="0.3">
      <c r="A20" s="1"/>
      <c r="B20" s="1"/>
      <c r="C20" s="1"/>
      <c r="D20" s="1" t="s">
        <v>18</v>
      </c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 t="s">
        <v>19</v>
      </c>
      <c r="C22" s="1"/>
      <c r="D22" s="1"/>
      <c r="E22" s="1"/>
      <c r="F22" s="1"/>
    </row>
    <row r="23" spans="1:6" x14ac:dyDescent="0.3">
      <c r="A23" s="1"/>
      <c r="B23" s="1"/>
      <c r="C23" s="1" t="s">
        <v>20</v>
      </c>
      <c r="D23" s="1"/>
      <c r="E23" s="1"/>
      <c r="F23" s="1"/>
    </row>
    <row r="24" spans="1:6" x14ac:dyDescent="0.3">
      <c r="A24" s="1"/>
      <c r="B24" s="1"/>
      <c r="C24" s="1" t="s">
        <v>11</v>
      </c>
      <c r="D24" s="1"/>
      <c r="E24" s="1"/>
      <c r="F24" s="1"/>
    </row>
    <row r="25" spans="1:6" x14ac:dyDescent="0.3">
      <c r="A25" s="1"/>
      <c r="B25" s="1"/>
      <c r="C25" s="1"/>
      <c r="D25" s="1" t="s">
        <v>21</v>
      </c>
      <c r="E25" s="1"/>
      <c r="F25" s="1"/>
    </row>
    <row r="26" spans="1:6" x14ac:dyDescent="0.3">
      <c r="A26" s="1"/>
      <c r="B26" s="1"/>
      <c r="C26" s="1"/>
      <c r="D26" s="1" t="s">
        <v>22</v>
      </c>
      <c r="E26" s="1"/>
      <c r="F26" s="1"/>
    </row>
    <row r="27" spans="1:6" x14ac:dyDescent="0.3">
      <c r="A27" s="1"/>
      <c r="B27" s="1"/>
      <c r="C27" s="1" t="s">
        <v>23</v>
      </c>
      <c r="D27" s="1"/>
      <c r="E27" s="1"/>
      <c r="F27" s="1"/>
    </row>
    <row r="28" spans="1:6" x14ac:dyDescent="0.3">
      <c r="A28" s="1"/>
      <c r="B28" s="1"/>
      <c r="C28" s="1"/>
      <c r="D28" s="1" t="s">
        <v>24</v>
      </c>
      <c r="E28" s="1"/>
      <c r="F28" s="1"/>
    </row>
    <row r="29" spans="1:6" x14ac:dyDescent="0.3">
      <c r="A29" s="1"/>
      <c r="B29" s="1"/>
      <c r="C29" s="1"/>
      <c r="D29" s="1" t="s">
        <v>25</v>
      </c>
      <c r="E29" s="1"/>
      <c r="F29" s="1"/>
    </row>
    <row r="30" spans="1:6" x14ac:dyDescent="0.3">
      <c r="A30" s="1"/>
      <c r="B30" s="1"/>
      <c r="C30" s="1"/>
      <c r="D30" s="1" t="s">
        <v>26</v>
      </c>
      <c r="E30" s="1"/>
      <c r="F30" s="1"/>
    </row>
    <row r="31" spans="1:6" x14ac:dyDescent="0.3">
      <c r="A31" s="1"/>
      <c r="B31" s="1"/>
      <c r="C31" s="1"/>
      <c r="D31" s="1" t="s">
        <v>27</v>
      </c>
      <c r="E31" s="1"/>
      <c r="F31" s="1"/>
    </row>
    <row r="32" spans="1:6" x14ac:dyDescent="0.3">
      <c r="A32" s="1"/>
      <c r="B32" s="1"/>
      <c r="C32" s="1"/>
      <c r="D32" s="1"/>
      <c r="E32" s="1" t="s">
        <v>28</v>
      </c>
      <c r="F32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3"/>
  <sheetViews>
    <sheetView workbookViewId="0">
      <selection activeCell="N4" sqref="N4"/>
    </sheetView>
  </sheetViews>
  <sheetFormatPr defaultRowHeight="16.5" x14ac:dyDescent="0.3"/>
  <cols>
    <col min="23" max="23" width="9" customWidth="1"/>
  </cols>
  <sheetData>
    <row r="1" spans="1:22" x14ac:dyDescent="0.3">
      <c r="A1" s="2" t="s">
        <v>29</v>
      </c>
      <c r="B1" s="2" t="s">
        <v>30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  <c r="I1" s="2" t="s">
        <v>37</v>
      </c>
      <c r="N1" s="2" t="s">
        <v>29</v>
      </c>
      <c r="O1" s="2" t="s">
        <v>30</v>
      </c>
      <c r="P1" s="2" t="s">
        <v>31</v>
      </c>
      <c r="Q1" s="2" t="s">
        <v>32</v>
      </c>
      <c r="R1" s="2" t="s">
        <v>33</v>
      </c>
      <c r="S1" s="2" t="s">
        <v>34</v>
      </c>
      <c r="T1" s="2" t="s">
        <v>35</v>
      </c>
      <c r="U1" s="2" t="s">
        <v>36</v>
      </c>
      <c r="V1" s="2" t="s">
        <v>37</v>
      </c>
    </row>
    <row r="2" spans="1:22" x14ac:dyDescent="0.3">
      <c r="A2" s="2">
        <v>1</v>
      </c>
      <c r="B2" s="2" t="s">
        <v>38</v>
      </c>
      <c r="C2" s="2">
        <v>3</v>
      </c>
      <c r="D2" s="2">
        <v>10</v>
      </c>
      <c r="E2" s="2">
        <v>3</v>
      </c>
      <c r="F2" s="2">
        <v>1</v>
      </c>
      <c r="G2" s="2">
        <v>10</v>
      </c>
      <c r="H2" s="2">
        <v>4</v>
      </c>
      <c r="I2" s="2">
        <v>49</v>
      </c>
      <c r="N2" s="2">
        <v>1</v>
      </c>
      <c r="O2" s="2" t="str">
        <f>VLOOKUP(N2,Logic_List!A2:I29997,2,FALSE)</f>
        <v>Test1</v>
      </c>
      <c r="P2" s="2">
        <f>VLOOKUP(N2,Logic_List!A2:I29997,3,FALSE)</f>
        <v>3</v>
      </c>
      <c r="Q2" s="2">
        <f>VLOOKUP(N2,Logic_List!A2:I29997,4,FALSE)</f>
        <v>10</v>
      </c>
      <c r="R2" s="2">
        <f>VLOOKUP(N2,Logic_List!A2:I29997,5,FALSE)</f>
        <v>3</v>
      </c>
      <c r="S2" s="2">
        <f>VLOOKUP(N2,Logic_List!A2:I29997,6,FALSE)</f>
        <v>1</v>
      </c>
      <c r="T2" s="2">
        <f>VLOOKUP(N2,Logic_List!A2:I29997,7,FALSE)</f>
        <v>10</v>
      </c>
      <c r="U2" s="2">
        <f>VLOOKUP(N2,Logic_List!A2:I29997,8,FALSE)</f>
        <v>4</v>
      </c>
      <c r="V2" s="2">
        <f>VLOOKUP(N2,Logic_List!A2:I29997,9,FALSE)</f>
        <v>49</v>
      </c>
    </row>
    <row r="3" spans="1:22" x14ac:dyDescent="0.3">
      <c r="A3" s="2">
        <v>2</v>
      </c>
      <c r="B3" s="2"/>
      <c r="C3" s="2"/>
      <c r="D3" s="2"/>
      <c r="E3" s="2"/>
      <c r="F3" s="2"/>
      <c r="G3" s="2"/>
      <c r="H3" s="2"/>
      <c r="I3" s="2"/>
    </row>
    <row r="4" spans="1:22" x14ac:dyDescent="0.3">
      <c r="A4" s="2">
        <v>3</v>
      </c>
      <c r="B4" s="2"/>
      <c r="C4" s="2"/>
      <c r="D4" s="2"/>
      <c r="E4" s="2"/>
      <c r="F4" s="2"/>
      <c r="G4" s="2"/>
      <c r="H4" s="2"/>
      <c r="I4" s="2"/>
    </row>
    <row r="5" spans="1:22" x14ac:dyDescent="0.3">
      <c r="A5" s="2">
        <v>4</v>
      </c>
      <c r="B5" s="2"/>
      <c r="C5" s="2"/>
      <c r="D5" s="2"/>
      <c r="E5" s="2"/>
      <c r="F5" s="2"/>
      <c r="G5" s="2"/>
      <c r="H5" s="2"/>
      <c r="I5" s="2"/>
    </row>
    <row r="6" spans="1:22" x14ac:dyDescent="0.3">
      <c r="A6" s="2">
        <v>5</v>
      </c>
      <c r="B6" s="2"/>
      <c r="C6" s="2"/>
      <c r="D6" s="2"/>
      <c r="E6" s="2"/>
      <c r="F6" s="2"/>
      <c r="G6" s="2"/>
      <c r="H6" s="2"/>
      <c r="I6" s="2"/>
    </row>
    <row r="7" spans="1:22" x14ac:dyDescent="0.3">
      <c r="A7" s="2">
        <v>6</v>
      </c>
      <c r="B7" s="2"/>
      <c r="C7" s="2"/>
      <c r="D7" s="2"/>
      <c r="E7" s="2"/>
      <c r="F7" s="2"/>
      <c r="G7" s="2"/>
      <c r="H7" s="2"/>
      <c r="I7" s="2"/>
    </row>
    <row r="8" spans="1:22" x14ac:dyDescent="0.3">
      <c r="A8" s="2">
        <v>7</v>
      </c>
      <c r="B8" s="2"/>
      <c r="C8" s="2"/>
      <c r="D8" s="2"/>
      <c r="E8" s="2"/>
      <c r="F8" s="2"/>
      <c r="G8" s="2"/>
      <c r="H8" s="2"/>
      <c r="I8" s="2"/>
    </row>
    <row r="9" spans="1:22" x14ac:dyDescent="0.3">
      <c r="A9" s="2">
        <v>8</v>
      </c>
      <c r="B9" s="2"/>
      <c r="C9" s="2"/>
      <c r="D9" s="2"/>
      <c r="E9" s="2"/>
      <c r="F9" s="2"/>
      <c r="G9" s="2"/>
      <c r="H9" s="2"/>
      <c r="I9" s="2"/>
    </row>
    <row r="10" spans="1:22" x14ac:dyDescent="0.3">
      <c r="A10" s="2">
        <v>9</v>
      </c>
      <c r="B10" s="2"/>
      <c r="C10" s="2"/>
      <c r="D10" s="2"/>
      <c r="E10" s="2"/>
      <c r="F10" s="2"/>
      <c r="G10" s="2"/>
      <c r="H10" s="2"/>
      <c r="I10" s="2"/>
    </row>
    <row r="11" spans="1:22" x14ac:dyDescent="0.3">
      <c r="A11" s="2">
        <v>10</v>
      </c>
      <c r="B11" s="2"/>
      <c r="C11" s="2"/>
      <c r="D11" s="2"/>
      <c r="E11" s="2"/>
      <c r="F11" s="2"/>
      <c r="G11" s="2"/>
      <c r="H11" s="2"/>
      <c r="I11" s="2"/>
    </row>
    <row r="12" spans="1:22" x14ac:dyDescent="0.3">
      <c r="A12" s="2">
        <v>11</v>
      </c>
      <c r="B12" s="2"/>
      <c r="C12" s="2"/>
      <c r="D12" s="2"/>
      <c r="E12" s="2"/>
      <c r="F12" s="2"/>
      <c r="G12" s="2"/>
      <c r="H12" s="2"/>
      <c r="I12" s="2"/>
    </row>
    <row r="13" spans="1:22" x14ac:dyDescent="0.3">
      <c r="A13" s="2">
        <v>12</v>
      </c>
      <c r="B13" s="2"/>
      <c r="C13" s="2"/>
      <c r="D13" s="2"/>
      <c r="E13" s="2"/>
      <c r="F13" s="2"/>
      <c r="G13" s="2"/>
      <c r="H13" s="2"/>
      <c r="I13" s="2"/>
    </row>
    <row r="14" spans="1:22" x14ac:dyDescent="0.3">
      <c r="A14" s="2">
        <v>13</v>
      </c>
      <c r="B14" s="2"/>
      <c r="C14" s="2"/>
      <c r="D14" s="2"/>
      <c r="E14" s="2"/>
      <c r="F14" s="2"/>
      <c r="G14" s="2"/>
      <c r="H14" s="2"/>
      <c r="I14" s="2"/>
    </row>
    <row r="15" spans="1:22" x14ac:dyDescent="0.3">
      <c r="A15" s="2">
        <v>14</v>
      </c>
      <c r="B15" s="2"/>
      <c r="C15" s="2"/>
      <c r="D15" s="2"/>
      <c r="E15" s="2"/>
      <c r="F15" s="2"/>
      <c r="G15" s="2"/>
      <c r="H15" s="2"/>
      <c r="I15" s="2"/>
    </row>
    <row r="16" spans="1:22" x14ac:dyDescent="0.3">
      <c r="A16" s="2">
        <v>15</v>
      </c>
      <c r="B16" s="2"/>
      <c r="C16" s="2"/>
      <c r="D16" s="2"/>
      <c r="E16" s="2"/>
      <c r="F16" s="2"/>
      <c r="G16" s="2"/>
      <c r="H16" s="2"/>
      <c r="I16" s="2"/>
    </row>
    <row r="17" spans="1:9" x14ac:dyDescent="0.3">
      <c r="A17" s="2">
        <v>16</v>
      </c>
      <c r="B17" s="2"/>
      <c r="C17" s="2"/>
      <c r="D17" s="2"/>
      <c r="E17" s="2"/>
      <c r="F17" s="2"/>
      <c r="G17" s="2"/>
      <c r="H17" s="2"/>
      <c r="I17" s="2"/>
    </row>
    <row r="18" spans="1:9" x14ac:dyDescent="0.3">
      <c r="A18" s="2">
        <v>17</v>
      </c>
      <c r="B18" s="2"/>
      <c r="C18" s="2"/>
      <c r="D18" s="2"/>
      <c r="E18" s="2"/>
      <c r="F18" s="2"/>
      <c r="G18" s="2"/>
      <c r="H18" s="2"/>
      <c r="I18" s="2"/>
    </row>
    <row r="19" spans="1:9" x14ac:dyDescent="0.3">
      <c r="A19" s="2">
        <v>18</v>
      </c>
      <c r="B19" s="2"/>
      <c r="C19" s="2"/>
      <c r="D19" s="2"/>
      <c r="E19" s="2"/>
      <c r="F19" s="2"/>
      <c r="G19" s="2"/>
      <c r="H19" s="2"/>
      <c r="I19" s="2"/>
    </row>
    <row r="20" spans="1:9" x14ac:dyDescent="0.3">
      <c r="A20" s="2">
        <v>19</v>
      </c>
      <c r="B20" s="2"/>
      <c r="C20" s="2"/>
      <c r="D20" s="2"/>
      <c r="E20" s="2"/>
      <c r="F20" s="2"/>
      <c r="G20" s="2"/>
      <c r="H20" s="2"/>
      <c r="I20" s="2"/>
    </row>
    <row r="21" spans="1:9" x14ac:dyDescent="0.3">
      <c r="A21" s="2">
        <v>20</v>
      </c>
      <c r="B21" s="2"/>
      <c r="C21" s="2"/>
      <c r="D21" s="2"/>
      <c r="E21" s="2"/>
      <c r="F21" s="2"/>
      <c r="G21" s="2"/>
      <c r="H21" s="2"/>
      <c r="I21" s="2"/>
    </row>
    <row r="22" spans="1:9" x14ac:dyDescent="0.3">
      <c r="A22" s="2">
        <v>21</v>
      </c>
      <c r="B22" s="2"/>
      <c r="C22" s="2"/>
      <c r="D22" s="2"/>
      <c r="E22" s="2"/>
      <c r="F22" s="2"/>
      <c r="G22" s="2"/>
      <c r="H22" s="2"/>
      <c r="I22" s="2"/>
    </row>
    <row r="23" spans="1:9" x14ac:dyDescent="0.3">
      <c r="A23" s="2">
        <v>22</v>
      </c>
      <c r="B23" s="2"/>
      <c r="C23" s="2"/>
      <c r="D23" s="2"/>
      <c r="E23" s="2"/>
      <c r="F23" s="2"/>
      <c r="G23" s="2"/>
      <c r="H23" s="2"/>
      <c r="I23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Spinner 3">
              <controlPr defaultSize="0" autoPict="0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현재_통합_문서.Generate_Field">
                <anchor moveWithCells="1" sizeWithCells="1">
                  <from>
                    <xdr:col>22</xdr:col>
                    <xdr:colOff>219075</xdr:colOff>
                    <xdr:row>0</xdr:row>
                    <xdr:rowOff>76200</xdr:rowOff>
                  </from>
                  <to>
                    <xdr:col>23</xdr:col>
                    <xdr:colOff>476250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현재_통합_문서.Focus_A">
                <anchor moveWithCells="1" sizeWithCells="1">
                  <from>
                    <xdr:col>22</xdr:col>
                    <xdr:colOff>219075</xdr:colOff>
                    <xdr:row>2</xdr:row>
                    <xdr:rowOff>66675</xdr:rowOff>
                  </from>
                  <to>
                    <xdr:col>23</xdr:col>
                    <xdr:colOff>476250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6"/>
  <sheetViews>
    <sheetView tabSelected="1" workbookViewId="0">
      <selection activeCell="K2" sqref="K2"/>
    </sheetView>
  </sheetViews>
  <sheetFormatPr defaultColWidth="2.625" defaultRowHeight="15" customHeight="1" x14ac:dyDescent="0.3"/>
  <sheetData>
    <row r="1" spans="1:14" ht="15" customHeight="1" thickBot="1" x14ac:dyDescent="0.35">
      <c r="A1">
        <v>1</v>
      </c>
      <c r="C1">
        <v>5</v>
      </c>
      <c r="E1">
        <v>49</v>
      </c>
    </row>
    <row r="2" spans="1:14" ht="15" customHeight="1" thickTop="1" x14ac:dyDescent="0.3">
      <c r="B2" s="69"/>
      <c r="C2" s="70"/>
      <c r="D2" s="70"/>
      <c r="E2" s="70"/>
      <c r="F2" s="71"/>
      <c r="G2" s="72"/>
      <c r="H2" s="70"/>
      <c r="I2" s="70"/>
      <c r="J2" s="70"/>
      <c r="K2" s="73"/>
      <c r="L2" s="53">
        <v>2</v>
      </c>
      <c r="M2" s="54"/>
      <c r="N2" s="55"/>
    </row>
    <row r="3" spans="1:14" ht="15" customHeight="1" x14ac:dyDescent="0.3">
      <c r="B3" s="74"/>
      <c r="C3" s="75"/>
      <c r="D3" s="75"/>
      <c r="E3" s="75"/>
      <c r="F3" s="76"/>
      <c r="G3" s="77"/>
      <c r="H3" s="75"/>
      <c r="I3" s="75"/>
      <c r="J3" s="75"/>
      <c r="K3" s="78"/>
      <c r="L3">
        <v>4</v>
      </c>
      <c r="N3" s="56"/>
    </row>
    <row r="4" spans="1:14" ht="15" customHeight="1" x14ac:dyDescent="0.3">
      <c r="B4" s="74"/>
      <c r="C4" s="75"/>
      <c r="D4" s="75"/>
      <c r="E4" s="75"/>
      <c r="F4" s="76"/>
      <c r="G4" s="77"/>
      <c r="H4" s="75"/>
      <c r="I4" s="75"/>
      <c r="J4" s="75"/>
      <c r="K4" s="78"/>
      <c r="L4">
        <v>2</v>
      </c>
      <c r="M4">
        <v>3</v>
      </c>
      <c r="N4" s="56"/>
    </row>
    <row r="5" spans="1:14" ht="15" customHeight="1" x14ac:dyDescent="0.3">
      <c r="B5" s="74"/>
      <c r="C5" s="75"/>
      <c r="D5" s="75"/>
      <c r="E5" s="75"/>
      <c r="F5" s="76"/>
      <c r="G5" s="77"/>
      <c r="H5" s="75"/>
      <c r="I5" s="75"/>
      <c r="J5" s="75"/>
      <c r="K5" s="78"/>
      <c r="L5">
        <v>4</v>
      </c>
      <c r="M5">
        <v>3</v>
      </c>
      <c r="N5" s="56"/>
    </row>
    <row r="6" spans="1:14" ht="15" customHeight="1" thickBot="1" x14ac:dyDescent="0.35">
      <c r="B6" s="79"/>
      <c r="C6" s="80"/>
      <c r="D6" s="80"/>
      <c r="E6" s="80"/>
      <c r="F6" s="81"/>
      <c r="G6" s="82"/>
      <c r="H6" s="80"/>
      <c r="I6" s="80"/>
      <c r="J6" s="80"/>
      <c r="K6" s="83"/>
      <c r="L6" s="57">
        <v>3</v>
      </c>
      <c r="M6" s="58">
        <v>3</v>
      </c>
      <c r="N6" s="59"/>
    </row>
    <row r="7" spans="1:14" ht="15" customHeight="1" x14ac:dyDescent="0.3">
      <c r="B7" s="84"/>
      <c r="C7" s="85"/>
      <c r="D7" s="85"/>
      <c r="E7" s="85"/>
      <c r="F7" s="86"/>
      <c r="G7" s="87"/>
      <c r="H7" s="85"/>
      <c r="I7" s="85"/>
      <c r="J7" s="85"/>
      <c r="K7" s="88"/>
      <c r="L7">
        <v>3</v>
      </c>
      <c r="M7">
        <v>1</v>
      </c>
      <c r="N7" s="60">
        <v>3</v>
      </c>
    </row>
    <row r="8" spans="1:14" ht="15" customHeight="1" x14ac:dyDescent="0.3">
      <c r="B8" s="74"/>
      <c r="C8" s="75"/>
      <c r="D8" s="75"/>
      <c r="E8" s="75"/>
      <c r="F8" s="76"/>
      <c r="G8" s="77"/>
      <c r="H8" s="75"/>
      <c r="I8" s="75"/>
      <c r="J8" s="75"/>
      <c r="K8" s="78"/>
      <c r="L8">
        <v>4</v>
      </c>
      <c r="M8">
        <v>3</v>
      </c>
      <c r="N8" s="56"/>
    </row>
    <row r="9" spans="1:14" ht="15" customHeight="1" x14ac:dyDescent="0.3">
      <c r="B9" s="74"/>
      <c r="C9" s="75"/>
      <c r="D9" s="75"/>
      <c r="E9" s="75"/>
      <c r="F9" s="76"/>
      <c r="G9" s="77"/>
      <c r="H9" s="75"/>
      <c r="I9" s="75"/>
      <c r="J9" s="75"/>
      <c r="K9" s="78"/>
      <c r="L9">
        <v>2</v>
      </c>
      <c r="M9">
        <v>3</v>
      </c>
      <c r="N9" s="56"/>
    </row>
    <row r="10" spans="1:14" ht="15" customHeight="1" x14ac:dyDescent="0.3">
      <c r="B10" s="74"/>
      <c r="C10" s="75"/>
      <c r="D10" s="75"/>
      <c r="E10" s="75"/>
      <c r="F10" s="76"/>
      <c r="G10" s="77"/>
      <c r="H10" s="75"/>
      <c r="I10" s="75"/>
      <c r="J10" s="75"/>
      <c r="K10" s="78"/>
      <c r="L10">
        <v>4</v>
      </c>
      <c r="N10" s="56"/>
    </row>
    <row r="11" spans="1:14" ht="15" customHeight="1" thickBot="1" x14ac:dyDescent="0.35">
      <c r="B11" s="89"/>
      <c r="C11" s="90"/>
      <c r="D11" s="90"/>
      <c r="E11" s="90"/>
      <c r="F11" s="91"/>
      <c r="G11" s="92"/>
      <c r="H11" s="90"/>
      <c r="I11" s="90"/>
      <c r="J11" s="90"/>
      <c r="K11" s="93"/>
      <c r="L11" s="61">
        <v>2</v>
      </c>
      <c r="M11" s="62"/>
      <c r="N11" s="63"/>
    </row>
    <row r="12" spans="1:14" ht="15" customHeight="1" thickTop="1" x14ac:dyDescent="0.3">
      <c r="B12" s="53">
        <v>2</v>
      </c>
      <c r="C12">
        <v>2</v>
      </c>
      <c r="D12">
        <v>2</v>
      </c>
      <c r="E12">
        <v>2</v>
      </c>
      <c r="F12" s="64">
        <v>2</v>
      </c>
      <c r="G12">
        <v>2</v>
      </c>
      <c r="H12">
        <v>2</v>
      </c>
      <c r="I12">
        <v>2</v>
      </c>
      <c r="J12">
        <v>2</v>
      </c>
      <c r="K12" s="55">
        <v>2</v>
      </c>
      <c r="N12" s="55"/>
    </row>
    <row r="13" spans="1:14" ht="15" customHeight="1" x14ac:dyDescent="0.3">
      <c r="B13" s="65"/>
      <c r="E13">
        <v>2</v>
      </c>
      <c r="F13" s="66">
        <v>2</v>
      </c>
      <c r="G13">
        <v>2</v>
      </c>
      <c r="H13">
        <v>2</v>
      </c>
      <c r="K13" s="56"/>
      <c r="N13" s="56"/>
    </row>
    <row r="14" spans="1:14" ht="15" customHeight="1" x14ac:dyDescent="0.3">
      <c r="B14" s="65"/>
      <c r="F14" s="66">
        <v>2</v>
      </c>
      <c r="G14">
        <v>2</v>
      </c>
      <c r="K14" s="56"/>
      <c r="N14" s="56"/>
    </row>
    <row r="15" spans="1:14" ht="15" customHeight="1" thickBot="1" x14ac:dyDescent="0.35">
      <c r="B15" s="61"/>
      <c r="C15" s="62"/>
      <c r="D15" s="62"/>
      <c r="E15" s="62"/>
      <c r="F15" s="67">
        <v>2</v>
      </c>
      <c r="G15" s="68"/>
      <c r="H15" s="62"/>
      <c r="I15" s="62"/>
      <c r="J15" s="62"/>
      <c r="K15" s="63"/>
      <c r="L15" s="61"/>
      <c r="M15" s="62"/>
      <c r="N15" s="63"/>
    </row>
    <row r="16" spans="1:14" ht="15" customHeight="1" thickTop="1" x14ac:dyDescent="0.3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현재_통합_문서.Reset_Field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11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현재_통합_문서.Cheating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19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M17"/>
  <sheetViews>
    <sheetView workbookViewId="0">
      <selection activeCell="Y5" sqref="Y5"/>
    </sheetView>
  </sheetViews>
  <sheetFormatPr defaultColWidth="2.625" defaultRowHeight="15" customHeight="1" x14ac:dyDescent="0.3"/>
  <cols>
    <col min="1" max="16384" width="2.625" style="1"/>
  </cols>
  <sheetData>
    <row r="2" spans="1:13" ht="15" customHeight="1" thickBot="1" x14ac:dyDescent="0.35"/>
    <row r="3" spans="1:13" ht="15" customHeight="1" thickTop="1" x14ac:dyDescent="0.3">
      <c r="A3" s="30"/>
      <c r="B3" s="25"/>
      <c r="C3" s="25"/>
      <c r="D3" s="25"/>
      <c r="E3" s="26">
        <v>1</v>
      </c>
      <c r="F3" s="27">
        <v>1</v>
      </c>
      <c r="G3" s="25"/>
      <c r="H3" s="25"/>
      <c r="I3" s="25"/>
      <c r="J3" s="28"/>
      <c r="K3" s="36">
        <v>2</v>
      </c>
      <c r="L3" s="29"/>
      <c r="M3" s="37"/>
    </row>
    <row r="4" spans="1:13" ht="15" customHeight="1" x14ac:dyDescent="0.3">
      <c r="A4" s="31"/>
      <c r="B4" s="3"/>
      <c r="C4" s="3"/>
      <c r="D4" s="16">
        <v>1</v>
      </c>
      <c r="E4" s="14">
        <v>1</v>
      </c>
      <c r="F4" s="15">
        <v>1</v>
      </c>
      <c r="G4" s="16">
        <v>1</v>
      </c>
      <c r="H4" s="3"/>
      <c r="I4" s="3"/>
      <c r="J4" s="6"/>
      <c r="K4" s="24">
        <v>4</v>
      </c>
      <c r="L4" s="24"/>
      <c r="M4" s="38"/>
    </row>
    <row r="5" spans="1:13" ht="15" customHeight="1" x14ac:dyDescent="0.3">
      <c r="A5" s="31"/>
      <c r="B5" s="3"/>
      <c r="C5" s="16">
        <v>1</v>
      </c>
      <c r="D5" s="16">
        <v>1</v>
      </c>
      <c r="E5" s="4"/>
      <c r="F5" s="15">
        <v>1</v>
      </c>
      <c r="G5" s="16">
        <v>1</v>
      </c>
      <c r="H5" s="16">
        <v>1</v>
      </c>
      <c r="I5" s="3"/>
      <c r="J5" s="6"/>
      <c r="K5" s="24">
        <v>2</v>
      </c>
      <c r="L5" s="24">
        <v>3</v>
      </c>
      <c r="M5" s="38"/>
    </row>
    <row r="6" spans="1:13" ht="15" customHeight="1" x14ac:dyDescent="0.3">
      <c r="A6" s="31"/>
      <c r="B6" s="16">
        <v>1</v>
      </c>
      <c r="C6" s="16">
        <v>1</v>
      </c>
      <c r="D6" s="16">
        <v>1</v>
      </c>
      <c r="E6" s="14">
        <v>1</v>
      </c>
      <c r="F6" s="5"/>
      <c r="G6" s="16">
        <v>1</v>
      </c>
      <c r="H6" s="16">
        <v>1</v>
      </c>
      <c r="I6" s="16">
        <v>1</v>
      </c>
      <c r="J6" s="6"/>
      <c r="K6" s="24">
        <v>4</v>
      </c>
      <c r="L6" s="24">
        <v>3</v>
      </c>
      <c r="M6" s="38"/>
    </row>
    <row r="7" spans="1:13" ht="15" customHeight="1" thickBot="1" x14ac:dyDescent="0.35">
      <c r="A7" s="32">
        <v>1</v>
      </c>
      <c r="B7" s="18">
        <v>1</v>
      </c>
      <c r="C7" s="18">
        <v>1</v>
      </c>
      <c r="D7" s="7"/>
      <c r="E7" s="8"/>
      <c r="F7" s="9"/>
      <c r="G7" s="7"/>
      <c r="H7" s="18">
        <v>1</v>
      </c>
      <c r="I7" s="18">
        <v>1</v>
      </c>
      <c r="J7" s="17">
        <v>1</v>
      </c>
      <c r="K7" s="39">
        <v>3</v>
      </c>
      <c r="L7" s="40">
        <v>3</v>
      </c>
      <c r="M7" s="41"/>
    </row>
    <row r="8" spans="1:13" ht="15" customHeight="1" x14ac:dyDescent="0.3">
      <c r="A8" s="33">
        <v>1</v>
      </c>
      <c r="B8" s="19">
        <v>1</v>
      </c>
      <c r="C8" s="19">
        <v>1</v>
      </c>
      <c r="D8" s="10"/>
      <c r="E8" s="11"/>
      <c r="F8" s="22">
        <v>1</v>
      </c>
      <c r="G8" s="10"/>
      <c r="H8" s="19">
        <v>1</v>
      </c>
      <c r="I8" s="19">
        <v>1</v>
      </c>
      <c r="J8" s="21">
        <v>1</v>
      </c>
      <c r="K8" s="24">
        <v>3</v>
      </c>
      <c r="L8" s="24">
        <v>1</v>
      </c>
      <c r="M8" s="42">
        <v>3</v>
      </c>
    </row>
    <row r="9" spans="1:13" ht="15" customHeight="1" x14ac:dyDescent="0.3">
      <c r="A9" s="31"/>
      <c r="B9" s="16">
        <v>1</v>
      </c>
      <c r="C9" s="16">
        <v>1</v>
      </c>
      <c r="D9" s="16">
        <v>1</v>
      </c>
      <c r="E9" s="14">
        <v>1</v>
      </c>
      <c r="F9" s="5"/>
      <c r="G9" s="16">
        <v>1</v>
      </c>
      <c r="H9" s="16">
        <v>1</v>
      </c>
      <c r="I9" s="16">
        <v>1</v>
      </c>
      <c r="J9" s="6"/>
      <c r="K9" s="24">
        <v>4</v>
      </c>
      <c r="L9" s="24">
        <v>3</v>
      </c>
      <c r="M9" s="38"/>
    </row>
    <row r="10" spans="1:13" ht="15" customHeight="1" x14ac:dyDescent="0.3">
      <c r="A10" s="31"/>
      <c r="B10" s="3"/>
      <c r="C10" s="16">
        <v>1</v>
      </c>
      <c r="D10" s="16">
        <v>1</v>
      </c>
      <c r="E10" s="4"/>
      <c r="F10" s="15">
        <v>1</v>
      </c>
      <c r="G10" s="16">
        <v>1</v>
      </c>
      <c r="H10" s="16">
        <v>1</v>
      </c>
      <c r="I10" s="3"/>
      <c r="J10" s="6"/>
      <c r="K10" s="24">
        <v>2</v>
      </c>
      <c r="L10" s="24">
        <v>3</v>
      </c>
      <c r="M10" s="38"/>
    </row>
    <row r="11" spans="1:13" ht="15" customHeight="1" x14ac:dyDescent="0.3">
      <c r="A11" s="31"/>
      <c r="B11" s="3"/>
      <c r="C11" s="3"/>
      <c r="D11" s="16">
        <v>1</v>
      </c>
      <c r="E11" s="14">
        <v>1</v>
      </c>
      <c r="F11" s="15">
        <v>1</v>
      </c>
      <c r="G11" s="16">
        <v>1</v>
      </c>
      <c r="H11" s="3"/>
      <c r="I11" s="3"/>
      <c r="J11" s="6"/>
      <c r="K11" s="24">
        <v>4</v>
      </c>
      <c r="L11" s="24"/>
      <c r="M11" s="38"/>
    </row>
    <row r="12" spans="1:13" ht="15" customHeight="1" thickBot="1" x14ac:dyDescent="0.35">
      <c r="A12" s="34"/>
      <c r="B12" s="12"/>
      <c r="C12" s="12"/>
      <c r="D12" s="12"/>
      <c r="E12" s="23">
        <v>1</v>
      </c>
      <c r="F12" s="20">
        <v>1</v>
      </c>
      <c r="G12" s="12"/>
      <c r="H12" s="12"/>
      <c r="I12" s="12"/>
      <c r="J12" s="13"/>
      <c r="K12" s="43">
        <v>2</v>
      </c>
      <c r="L12" s="44"/>
      <c r="M12" s="45"/>
    </row>
    <row r="13" spans="1:13" ht="15" customHeight="1" thickTop="1" x14ac:dyDescent="0.3">
      <c r="A13" s="46">
        <v>2</v>
      </c>
      <c r="B13" s="24">
        <v>2</v>
      </c>
      <c r="C13" s="24">
        <v>2</v>
      </c>
      <c r="D13" s="24">
        <v>2</v>
      </c>
      <c r="E13" s="47">
        <v>2</v>
      </c>
      <c r="F13" s="24">
        <v>2</v>
      </c>
      <c r="G13" s="24">
        <v>2</v>
      </c>
      <c r="H13" s="24">
        <v>2</v>
      </c>
      <c r="I13" s="24">
        <v>2</v>
      </c>
      <c r="J13" s="48">
        <v>2</v>
      </c>
      <c r="K13" s="24"/>
      <c r="L13" s="24"/>
      <c r="M13" s="48"/>
    </row>
    <row r="14" spans="1:13" ht="15" customHeight="1" x14ac:dyDescent="0.3">
      <c r="A14" s="35"/>
      <c r="B14" s="24"/>
      <c r="C14" s="24"/>
      <c r="D14" s="24">
        <v>2</v>
      </c>
      <c r="E14" s="49">
        <v>2</v>
      </c>
      <c r="F14" s="24">
        <v>2</v>
      </c>
      <c r="G14" s="24">
        <v>2</v>
      </c>
      <c r="H14" s="24"/>
      <c r="I14" s="24"/>
      <c r="J14" s="38"/>
      <c r="K14" s="24"/>
      <c r="L14" s="24"/>
      <c r="M14" s="38"/>
    </row>
    <row r="15" spans="1:13" ht="15" customHeight="1" x14ac:dyDescent="0.3">
      <c r="A15" s="35"/>
      <c r="B15" s="24"/>
      <c r="C15" s="24"/>
      <c r="D15" s="24"/>
      <c r="E15" s="49">
        <v>2</v>
      </c>
      <c r="F15" s="24">
        <v>2</v>
      </c>
      <c r="G15" s="24"/>
      <c r="H15" s="24"/>
      <c r="I15" s="24"/>
      <c r="J15" s="38"/>
      <c r="K15" s="24"/>
      <c r="L15" s="24"/>
      <c r="M15" s="38"/>
    </row>
    <row r="16" spans="1:13" ht="15" customHeight="1" thickBot="1" x14ac:dyDescent="0.35">
      <c r="A16" s="50"/>
      <c r="B16" s="44"/>
      <c r="C16" s="44"/>
      <c r="D16" s="44"/>
      <c r="E16" s="51">
        <v>2</v>
      </c>
      <c r="F16" s="52"/>
      <c r="G16" s="44"/>
      <c r="H16" s="44"/>
      <c r="I16" s="44"/>
      <c r="J16" s="45"/>
      <c r="K16" s="43"/>
      <c r="L16" s="44"/>
      <c r="M16" s="45"/>
    </row>
    <row r="17" ht="15" customHeight="1" thickTop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현재_통합_문서.Draw_Lin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현재_통합_문서.CalSpac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12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How To Use</vt:lpstr>
      <vt:lpstr>Logic_List</vt:lpstr>
      <vt:lpstr>Logic_Field</vt:lpstr>
      <vt:lpstr>Logic_AList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チェユジン</dc:creator>
  <cp:lastModifiedBy>チェユジン</cp:lastModifiedBy>
  <dcterms:created xsi:type="dcterms:W3CDTF">2020-10-01T01:49:34Z</dcterms:created>
  <dcterms:modified xsi:type="dcterms:W3CDTF">2020-10-01T11:45:58Z</dcterms:modified>
</cp:coreProperties>
</file>